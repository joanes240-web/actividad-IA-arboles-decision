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vid\OneDrive - OVERLAP INTERNACIONAL S.A\OVERLAP\Data-proyectos\Colombia\Claro\Universidad Corporativa\3_operaciones\Unidades de Mercado\Transversal\Gestion Bases de Datos\"/>
    </mc:Choice>
  </mc:AlternateContent>
  <xr:revisionPtr revIDLastSave="0" documentId="13_ncr:1_{3BD49847-07E5-4B14-859F-D1102C95AFEB}" xr6:coauthVersionLast="47" xr6:coauthVersionMax="47" xr10:uidLastSave="{00000000-0000-0000-0000-000000000000}"/>
  <bookViews>
    <workbookView xWindow="-98" yWindow="-98" windowWidth="21795" windowHeight="12975" firstSheet="2" activeTab="2" xr2:uid="{0D6653F8-E21C-4240-8653-D0BBCCD98412}"/>
  </bookViews>
  <sheets>
    <sheet name="Hoja1" sheetId="1" state="hidden" r:id="rId1"/>
    <sheet name="Inventario de datos" sheetId="2" r:id="rId2"/>
    <sheet name="catalogo de tablas" sheetId="4" r:id="rId3"/>
    <sheet name="aktive_reakt_pro_CLARO" sheetId="5" r:id="rId4"/>
    <sheet name="Hoja2" sheetId="3"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G8" i="4"/>
  <c r="I10" i="5"/>
  <c r="H10" i="5"/>
  <c r="A10" i="5"/>
  <c r="I9" i="5"/>
  <c r="H9" i="5"/>
  <c r="A9" i="5"/>
  <c r="I8" i="5"/>
  <c r="H8" i="5"/>
  <c r="A8" i="5"/>
  <c r="A7" i="5"/>
  <c r="I6" i="5"/>
  <c r="H6" i="5"/>
  <c r="H5" i="5"/>
  <c r="I5" i="5"/>
  <c r="A6" i="5"/>
  <c r="A2" i="5"/>
  <c r="A3" i="5"/>
  <c r="A4" i="5"/>
  <c r="A5" i="5"/>
  <c r="I2" i="5"/>
  <c r="H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tc={AE4F3CAB-1B48-49AA-A2B3-0C94CB892963}</author>
  </authors>
  <commentList>
    <comment ref="B2" authorId="0" shapeId="0" xr:uid="{AE4F3CAB-1B48-49AA-A2B3-0C94CB89296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datos del maestro de persona muestran datos desactualizados o hay datos erróneos por autogestión de los aliados
Respuesta:
    Johana marquez revisa la data de maestro de personas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tc={98DD7679-0137-4E6C-B196-C20EACACEC58}</author>
  </authors>
  <commentList>
    <comment ref="B1" authorId="0" shapeId="0" xr:uid="{98DD7679-0137-4E6C-B196-C20EACACEC58}">
      <text>
        <t>[Comentario encadenado]
Su versión de Excel le permite leer este comentario encadenado; sin embargo, las ediciones que se apliquen se quitarán si el archivo se abre en una versión más reciente de Excel. Más información: https://go.microsoft.com/fwlink/?linkid=870924
Comentario:
    FuenteOrigen_Tipomedicion_descripcion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tc={B4EE09F2-A720-4FD4-8FE2-F5F0D329D89B}</author>
  </authors>
  <commentList>
    <comment ref="F1" authorId="0" shapeId="0" xr:uid="{B4EE09F2-A720-4FD4-8FE2-F5F0D329D89B}">
      <text>
        <t>[Comentario encadenado]
Su versión de Excel le permite leer este comentario encadenado; sin embargo, las ediciones que se apliquen se quitarán si el archivo se abre en una versión más reciente de Excel. Más información: https://go.microsoft.com/fwlink/?linkid=870924
Comentario:
    FuenteOrigen_Tipomedicion_descripcion</t>
      </text>
    </comment>
  </commentList>
</comments>
</file>

<file path=xl/sharedStrings.xml><?xml version="1.0" encoding="utf-8"?>
<sst xmlns="http://schemas.openxmlformats.org/spreadsheetml/2006/main" count="318" uniqueCount="186">
  <si>
    <t>Migración al lago de datos de Overlap</t>
  </si>
  <si>
    <t>Una plataforma para centralizar todos los datos de la universidad coportativa, y de los datos de negocio usados para entender el perfil de éxito, y el impacto que tenemos en negocio</t>
  </si>
  <si>
    <t>Actividad</t>
  </si>
  <si>
    <t>Responsable</t>
  </si>
  <si>
    <t>Entregable</t>
  </si>
  <si>
    <t>Fecha Inicio</t>
  </si>
  <si>
    <t>Fecha Fin</t>
  </si>
  <si>
    <t>1. Levantar el inventario de todas las fuentes de información / datos</t>
  </si>
  <si>
    <t>Jimmy Gonzalez y David Lizarazo</t>
  </si>
  <si>
    <t>Excel con todas las fuentes de datos actuales</t>
  </si>
  <si>
    <t>2. Para cada fuente de datos, cual será el proceso de integración al lago de dato</t>
  </si>
  <si>
    <t>Plan de migración con fechas para cada base de datos disponible (nota. Considerar la curva de aprendizaje de los notebooks con pyspark)</t>
  </si>
  <si>
    <t>3. integración con herramientas de BI</t>
  </si>
  <si>
    <t>Fuente de Información</t>
  </si>
  <si>
    <t>Descripción</t>
  </si>
  <si>
    <t>Periodo de Actualización</t>
  </si>
  <si>
    <t>Responsable/Custodio Técnico</t>
  </si>
  <si>
    <t>Responsable/Custodio Funcional</t>
  </si>
  <si>
    <t>indicador asociado</t>
  </si>
  <si>
    <t>Decision de negocio</t>
  </si>
  <si>
    <t>Observaciones</t>
  </si>
  <si>
    <t>Succes Factor (SSFF)</t>
  </si>
  <si>
    <t xml:space="preserve"> </t>
  </si>
  <si>
    <t>diaria</t>
  </si>
  <si>
    <t>Jimmy Gonzalez</t>
  </si>
  <si>
    <t>Coordinadores formativos y coordinador de contenido</t>
  </si>
  <si>
    <t>Consumo virtual, % personas certificadas, Satisfacción de contenido, Niveles de conocimiento técnico</t>
  </si>
  <si>
    <t>1. Mejorar contenido en función de atributos de satisfacción
2. Push en aliados sobre el contrato en niveles de certificaciones
3. Cierre de brechas de conocimiento de conocimiento técnico
4. Cobertura del onboarding sobre mallas formativas</t>
  </si>
  <si>
    <t>1. ¿Cuántas cerficiaciones diferentes hacemos?, 
2. ¿cuál es el esfuerzo de hacer certificaciones?
3. ¿La formación está generando conocimiento? (tipo de formación)
4. ¿Qué formaciones se hacen por tipo de producto?¿La gente se certifica en esas formaciones?,</t>
  </si>
  <si>
    <t>Conectados</t>
  </si>
  <si>
    <t xml:space="preserve">donde se publican los articulos base de conocimiento y comunicaciones, </t>
  </si>
  <si>
    <t>semanal (primer día habil de la semana)</t>
  </si>
  <si>
    <t>Coordinadores formativos, coordinador de contenido y de comunicaciones</t>
  </si>
  <si>
    <t>Consumo de las comunicaciones, cantidad de sesiones por usuario (usabilidad), y uso de ALDO, encuesta de satisfacción (general)</t>
  </si>
  <si>
    <t>1. Actualización oportuna de la información
2. Mejorar la calidad de los articulos (Desde los comentarios)
3. PUSH a la operación para que sepa como buscar y encontrar contenido</t>
  </si>
  <si>
    <t>SIUC</t>
  </si>
  <si>
    <t>Captura de asistencia a las formaciones y encuestas de proceso formativo</t>
  </si>
  <si>
    <t>Cada persona con acceso a la herramienta</t>
  </si>
  <si>
    <t>Overlap, Coordinadores formativos, Calidad</t>
  </si>
  <si>
    <t>Nivel de participación a formaciones, encuestas de NPS y satisfacción del proceso formativo</t>
  </si>
  <si>
    <t>1. decidir si abrir (o no) sesiones adicionales para garantizar la cobertura mínima, equilibrando; si el umbral ya se cumple, mantener la oferta vigente.
2. Mejorar el proceso de despligue
3. Retroalimentar a los líderes de cada canal, para buscar puntos de mejora</t>
  </si>
  <si>
    <t>Formularios 360 proceso de formación (Formulario html sistemas)</t>
  </si>
  <si>
    <t>Encuestas 360 de NPTS</t>
  </si>
  <si>
    <t>cada 2 días</t>
  </si>
  <si>
    <t>Jimmy Gonzalez e Ivan Leonargo</t>
  </si>
  <si>
    <t>Coordinadores formativos, Líder de Operación para cada unidad de mercado</t>
  </si>
  <si>
    <t>NPTS</t>
  </si>
  <si>
    <t>Mejoras en el proceso de formación en cada una de sus etapas (presencial, ssff, comunicaciones, conectados e innovación) o flujos de información</t>
  </si>
  <si>
    <t>Gestiona</t>
  </si>
  <si>
    <t>Resultados agregados de indicadores de negocio</t>
  </si>
  <si>
    <t>Mensual (primeros 4 días del siguiente mes)</t>
  </si>
  <si>
    <t>Gerente de la Universidad</t>
  </si>
  <si>
    <t>Indicador de Negocio</t>
  </si>
  <si>
    <t>1. Orienta la estrategia de la universidad a través de planes alineados con la realidad del negocio</t>
  </si>
  <si>
    <t>Reakt (Comportamientos)</t>
  </si>
  <si>
    <t>Conocimientos alineados al perfil de éxito de cada canal de la universidad</t>
  </si>
  <si>
    <t>monitoreo diario
resultados mensual</t>
  </si>
  <si>
    <t>Maria Isabel y David Lizarazo</t>
  </si>
  <si>
    <t>Monitoreo con lideres regionales o de operación y resultados con lideres de consultoría de desempeño</t>
  </si>
  <si>
    <t>Adopción Perfil de Éxito</t>
  </si>
  <si>
    <t>1. Push sobre cumplimiento/cobertura sobre observaciones de comportamiento
2. cambio en estrategias de los programas, resegmentación de publicos objetivo a impactar</t>
  </si>
  <si>
    <t>Dimensions (Conocimientos)</t>
  </si>
  <si>
    <t>Comportamientos alineados al perfil de éxito de cada canal de la universidad</t>
  </si>
  <si>
    <t>Brechas Conocimiento</t>
  </si>
  <si>
    <t>1. Push sobre cumplimiento/cobertura sobre publico objetivo mes a mes
2. cambio en estrategias de los programas, resegmentación de publicos objetivo a impactar</t>
  </si>
  <si>
    <t>Fresh Desk</t>
  </si>
  <si>
    <t>Medir cantidad de solicitudes y cumplimiento de los SLA's a la jefatura de investigación y desarrollo de contenidos</t>
  </si>
  <si>
    <t>mensual</t>
  </si>
  <si>
    <t>Jefatura de I+D de contenidos</t>
  </si>
  <si>
    <t>SLA's</t>
  </si>
  <si>
    <t>1. Afectación de facturas con aliados que trabajan con la jefatura de I+D de contenidos
2. Ajuste dinámico de la fabrica de contenidos y asignación según las capacidades del equipo</t>
  </si>
  <si>
    <t>#</t>
  </si>
  <si>
    <t>nombre estandar</t>
  </si>
  <si>
    <t>Capa Final</t>
  </si>
  <si>
    <t>Estado</t>
  </si>
  <si>
    <t>Observación</t>
  </si>
  <si>
    <t>ultima actualización</t>
  </si>
  <si>
    <t>proxima actualizacion</t>
  </si>
  <si>
    <t>ssff_conocimiento_umm_callcenter</t>
  </si>
  <si>
    <t>Bronze</t>
  </si>
  <si>
    <t>Activa</t>
  </si>
  <si>
    <t>No identifica la fecha de realización del cuestionario</t>
  </si>
  <si>
    <t>La tabla contiene datos relacionados con evaluaciones de programas. Incluye información sobre el programa, el canal a través del cual se recopiló la evaluación de conocimiento y el cuestionario específico utilizado. Cada registro almacena respuestas individuales, incluyendo detalles de los participantes como cédula, nombre y correo electrónico, junto con sus respuestas a preguntas específicas y los valores correspondientes. Estos datos pueden utilizarse para analizar la retroalimentación de los participantes, evaluar la efectividad del programa e identificar tendencias en las respuestas a lo largo del tiempo.</t>
  </si>
  <si>
    <t>Oct 29, 2025, 03:33 PM</t>
  </si>
  <si>
    <t>conectados_usabilidad_contenidos</t>
  </si>
  <si>
    <t>Se requiere de un script que anexe todos los informes en un solo .parquet</t>
  </si>
  <si>
    <t>La tabla contiene datos relacionados con archivos cargados, incluyendo detalles como el tipo de contenido, el nombre del archivo y los identificadores asociados. También registra la marca de tiempo de la carga y las URL relevantes. Esta información puede utilizarse para realizar seguimiento de cargas de archivos, gestionar tipos de contenido y analizar patrones de carga.</t>
  </si>
  <si>
    <t>Oct 29, 2025, 04:24 PM</t>
  </si>
  <si>
    <t>siuc_asistencias_formativas</t>
  </si>
  <si>
    <t>Ultima versión disponible en(Asistencias SIUC_enero_octubre_2025) 
https://claromovilco-my.sharepoint.com/my?id=%2Fpersonal%2Funiversidadclarocomercial%5Fclaro%5Fcom%5Fco%2FDocuments%2FConsolidado%5Ffuentes&amp;viewid=6a19426a%2Db188%2D4c07%2D9cc3%2Da5daf131a63c&amp;ga=1</t>
  </si>
  <si>
    <t>La tabla contiene datos relacionados con sesiones de formación y registros de asistencia. Incluye información sobre los estudiantes, los asistentes y las propias sesiones de capacitación, como la ubicación, la metodología y las personas responsables. Estos datos pueden utilizarse para analizar la participación en las formaciones, comprender tendencias demográficas y evaluar la efectividad de diferentes metodologías de entrenamiento.</t>
  </si>
  <si>
    <t>Nov 09, 2025, 11:44 AM</t>
  </si>
  <si>
    <t>ssff_certificaciones_formativas</t>
  </si>
  <si>
    <t>Ultima versión disponible en(certificaciones y cursos) 
https://claromovilco-my.sharepoint.com/my?id=%2Fpersonal%2Funiversidadclarocomercial%5Fclaro%5Fcom%5Fco%2FDocuments%2FConsolidado%5Ffuentes&amp;viewid=6a19426a%2Db188%2D4c07%2D9cc3%2Da5daf131a63c&amp;ga=1</t>
  </si>
  <si>
    <t>La tabla contiene datos relacionados con la formación de empleados y los registros de exámenes. Incluye información como los identificadores de los empleados, los tipos de capacitación, los detalles de los exámenes y las fechas de acceso. Estos datos pueden utilizarse para hacer seguimiento al progreso formativo de los empleados, analizar los intentos de examen y evaluar la efectividad de los programas de capacitación</t>
  </si>
  <si>
    <t>Nov 19, 2025, 04:20 PM</t>
  </si>
  <si>
    <t>siuc_asistencias_formativas_procesada</t>
  </si>
  <si>
    <t>Silver</t>
  </si>
  <si>
    <t>ssff_certificaciones_formativas_procesada</t>
  </si>
  <si>
    <t>aux_categ_cert_umc_procesada</t>
  </si>
  <si>
    <t xml:space="preserve">Ultima versión disponible en(Preguntas de certificaciones con categorías -temas y familias) </t>
  </si>
  <si>
    <t>La tabla contiene datos relacionados con las preguntas de las certificaciones. Incluye información como el tema y familia de cada pregunta, el canal y cargo al que va dirigido</t>
  </si>
  <si>
    <t>aux_categ_cert_umc</t>
  </si>
  <si>
    <t>aux_categ_formacion_umc_procesada</t>
  </si>
  <si>
    <t xml:space="preserve">Ultima versión disponible en(formaciones con categorías -temas y familias) </t>
  </si>
  <si>
    <t>La tabla contiene datos relacionados con las formaciones de la UMC. Incluye información como el tema y familia de cada formación, el canal y cargo al que va dirigida</t>
  </si>
  <si>
    <t>aux_categ_formacion_umc</t>
  </si>
  <si>
    <t>freshdesk_tickets</t>
  </si>
  <si>
    <t>La tabla contiene datos relacionados con tickets de soporte, incluyendo detalles como el ID del ticket, el asunto, el estado, la prioridad, el origen, el tipo y el agente que gestiona el caso. También registra marcas de tiempo para la creación, resolución y cierre, junto con los tiempos de respuesta y el número de interacciones. Estos datos pueden utilizarse para analizar tendencias en los tickets de soporte, evaluar el desempeño de los agentes y mejorar los tiempos de respuesta y resolución.</t>
  </si>
  <si>
    <t>Pendiente la carga de octubre y noviembre en la tabla. Última actualización en septiembre</t>
  </si>
  <si>
    <t>fechas_call_center</t>
  </si>
  <si>
    <t>Eliminar</t>
  </si>
  <si>
    <t>Solo tiene una columna de ID y una de mes</t>
  </si>
  <si>
    <t>callcenter_cuartilizado</t>
  </si>
  <si>
    <t>cav_cuartilizado</t>
  </si>
  <si>
    <t>cav_negocio_umm</t>
  </si>
  <si>
    <t xml:space="preserve">Tiene la data de negocio consolidada a nivel nacional, pero no </t>
  </si>
  <si>
    <t>carga directa de ssff a partir del reporte de certificaciones</t>
  </si>
  <si>
    <t>comercial_cuartilizado_octubre</t>
  </si>
  <si>
    <t>ssff_cursos</t>
  </si>
  <si>
    <t>formaciones</t>
  </si>
  <si>
    <t>raw_kpis_umm_comercial</t>
  </si>
  <si>
    <t>pendiente</t>
  </si>
  <si>
    <t>Se depende de David Santiago Olivo para recolectar, preprocesar y cargar los datos</t>
  </si>
  <si>
    <t>La tabla contiene datos relacionados con métricas de desempeño en diversas regiones y canales operativos. Incluye información como la ejecución de indicadores clave de desempeño (KPIs), tasas de cumplimiento y detalles sobre las entidades asociadas, como aliados o puntos de operación. Estos datos pueden utilizarse para analizar el rendimiento regional, hacer seguimiento al logro de KPIs y comprender la efectividad operativa a lo largo de diferentes periodos.</t>
  </si>
  <si>
    <t>Nov 12, 2025, 06:29 PM</t>
  </si>
  <si>
    <t>gforms_cavs</t>
  </si>
  <si>
    <t>habilidades_comportamientos</t>
  </si>
  <si>
    <t>manual_metasreakt_observables</t>
  </si>
  <si>
    <t>observables</t>
  </si>
  <si>
    <t>poblacion_cuartilizada</t>
  </si>
  <si>
    <t>poblacion_objetivo</t>
  </si>
  <si>
    <t>reporte_resultados_masivo</t>
  </si>
  <si>
    <t>reporte_resultados_retencion</t>
  </si>
  <si>
    <t>reporte_resultados_soporte</t>
  </si>
  <si>
    <t>reporte_resultados_whatsapp</t>
  </si>
  <si>
    <t>ssff_externalid</t>
  </si>
  <si>
    <t>tmk_cuartilizado_octubre</t>
  </si>
  <si>
    <t>tmk_negocio_umm</t>
  </si>
  <si>
    <t>unidades_de_negocio_actualizado</t>
  </si>
  <si>
    <t>bg_dimensions_consolidado</t>
  </si>
  <si>
    <t>bg_reakt_correos</t>
  </si>
  <si>
    <t>Inactiva</t>
  </si>
  <si>
    <t>bg_reakt_data</t>
  </si>
  <si>
    <t>bg_reakt_kpi_configurations</t>
  </si>
  <si>
    <t>bg_reakt_kpi_data_managers</t>
  </si>
  <si>
    <t>bg_reakt_visitas</t>
  </si>
  <si>
    <t>manual_conocimiento_dimensions_gforms</t>
  </si>
  <si>
    <t>manual_kpis_negocio</t>
  </si>
  <si>
    <t>Nombre de la tabla</t>
  </si>
  <si>
    <t>Capa Actual</t>
  </si>
  <si>
    <t>Capa final</t>
  </si>
  <si>
    <t>rk_visit_data</t>
  </si>
  <si>
    <t>bronze</t>
  </si>
  <si>
    <t>activa</t>
  </si>
  <si>
    <t>aktive_reakt_pro.bronze.rk_visit_data</t>
  </si>
  <si>
    <t>observaciones de los entrenadores del mes actual vigente accountName ='CLARO (Coaching)'</t>
  </si>
  <si>
    <t>ak_kpi_configurations</t>
  </si>
  <si>
    <t>silver</t>
  </si>
  <si>
    <t>aktive_reakt_pro.silver.ak_kpi_configurations</t>
  </si>
  <si>
    <t>suministra los momentos o bloques de la observación accountName ='CLARO (Coaching)'</t>
  </si>
  <si>
    <t>ak_kpi_data_managers</t>
  </si>
  <si>
    <t>aktive_reakt_pro.silver.ak_kpi_data_managers</t>
  </si>
  <si>
    <t>suminstra unidades de negocio</t>
  </si>
  <si>
    <t>ak_visitas</t>
  </si>
  <si>
    <t>aktive_reakt_pro.silver.ak_visitas</t>
  </si>
  <si>
    <t>observaciones de los entrenadores historico desde mes de julio a mes actual vigente accountName ='CLARO (Coaching)'</t>
  </si>
  <si>
    <t>ak_worklogs_managers</t>
  </si>
  <si>
    <t>aktive_reakt_pro.silver.ak_worklogs_managers</t>
  </si>
  <si>
    <t>DEMO CLARO COAGHING</t>
  </si>
  <si>
    <t>gold</t>
  </si>
  <si>
    <t>aktive_reakt_pro.gold.ak_kpi_configurations</t>
  </si>
  <si>
    <t>suministra los momentos o bloques de la observación
 accountName ='CLARO (Coaching)'</t>
  </si>
  <si>
    <t>ak_questions_managers</t>
  </si>
  <si>
    <t>aktive_reakt_pro.gold.ak_questions_managers</t>
  </si>
  <si>
    <t>suminstra las preguntas y puntaje de reakt historico desde mes de julio a mes actual vigente accountName ='CLARO (Coaching)'</t>
  </si>
  <si>
    <t>1. Impacto en el Negocio</t>
  </si>
  <si>
    <t>•  ¿Cuál es el nivel de relación entre la formación impartida y el desempeño en el rol?</t>
  </si>
  <si>
    <t>•  ¿Los equipos que completan programas de formación muestran mejoras en KPIs?</t>
  </si>
  <si>
    <t>•  ¿Qué cursos o programas han tenido mayor impacto en la productividad o en los resultados comerciales?</t>
  </si>
  <si>
    <t>•  ¿Cómo se correlaciona la formación con la mejora en la rotación de los canales?</t>
  </si>
  <si>
    <t>Efectividad de la Formación</t>
  </si>
  <si>
    <t>¿Cómo se relacionan las evaluaciones de satisfacción (NPS, encuestas) con los resultados de aprendizaje?</t>
  </si>
  <si>
    <t>¿Qué formadores, metodologías o formatos tienen mejores resultados según los datos?</t>
  </si>
  <si>
    <t>3. Indicadores de Desempeño de la Universidad Corporativa</t>
  </si>
  <si>
    <t>•  ¿Cuál es el ROI estimado de los programas de 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</si>
</sst>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0"/>
      <name val="Aptos Display"/>
      <family val="2"/>
      <scheme val="major"/>
    </font>
    <font>
      <sz val="14"/>
      <color theme="1"/>
      <name val="Segoe UI"/>
      <family val="2"/>
    </font>
    <font>
      <sz val="14"/>
      <color theme="1"/>
      <name val="Aptos Narrow"/>
      <family val="2"/>
      <scheme val="minor"/>
    </font>
    <font>
      <b/>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1"/>
        <bgColor theme="1"/>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4">
    <xf numFmtId="0" fontId="0" fillId="0" borderId="0" xfId="0"/>
    <xf numFmtId="0" fontId="1" fillId="0" borderId="0" xfId="0" applyFont="1"/>
    <xf numFmtId="14" fontId="0" fillId="0" borderId="0" xfId="0" applyNumberFormat="1"/>
    <xf numFmtId="0" fontId="0" fillId="0" borderId="0" xfId="0" applyAlignment="1">
      <alignment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3" fillId="0" borderId="0" xfId="0" applyFont="1" applyAlignment="1">
      <alignment vertical="center"/>
    </xf>
    <xf numFmtId="0" fontId="4" fillId="0" borderId="0" xfId="0" applyFont="1"/>
    <xf numFmtId="0" fontId="3"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2" xfId="0" applyFont="1" applyFill="1" applyBorder="1"/>
    <xf numFmtId="0" fontId="5" fillId="2" borderId="3" xfId="0" applyFont="1" applyFill="1" applyBorder="1" applyAlignment="1">
      <alignment horizontal="center" vertical="center"/>
    </xf>
    <xf numFmtId="0" fontId="0" fillId="0" borderId="0" xfId="0" applyAlignment="1">
      <alignment horizontal="left" vertical="center"/>
    </xf>
    <xf numFmtId="16" fontId="0" fillId="0" borderId="0" xfId="0" applyNumberFormat="1" applyAlignment="1">
      <alignment vertical="center"/>
    </xf>
    <xf numFmtId="17" fontId="0" fillId="0" borderId="0" xfId="0" applyNumberFormat="1" applyAlignment="1">
      <alignment vertical="center"/>
    </xf>
    <xf numFmtId="14" fontId="0" fillId="0" borderId="0" xfId="0" applyNumberFormat="1" applyAlignment="1">
      <alignment vertical="center"/>
    </xf>
  </cellXfs>
  <cellStyles count="1">
    <cellStyle name="Normal" xfId="0" builtinId="0"/>
  </cellStyles>
  <dxfs count="15">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0"/>
        <name val="Aptos Display"/>
        <family val="2"/>
        <scheme val="maj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466725</xdr:colOff>
      <xdr:row>6</xdr:row>
      <xdr:rowOff>28575</xdr:rowOff>
    </xdr:from>
    <xdr:to>
      <xdr:col>19</xdr:col>
      <xdr:colOff>315155</xdr:colOff>
      <xdr:row>30</xdr:row>
      <xdr:rowOff>689</xdr:rowOff>
    </xdr:to>
    <xdr:pic>
      <xdr:nvPicPr>
        <xdr:cNvPr id="2" name="Imagen 1">
          <a:extLst>
            <a:ext uri="{FF2B5EF4-FFF2-40B4-BE49-F238E27FC236}">
              <a16:creationId xmlns:a16="http://schemas.microsoft.com/office/drawing/2014/main" id="{A94002AB-071D-B222-6852-B727153EA78B}"/>
            </a:ext>
          </a:extLst>
        </xdr:cNvPr>
        <xdr:cNvPicPr>
          <a:picLocks noChangeAspect="1"/>
        </xdr:cNvPicPr>
      </xdr:nvPicPr>
      <xdr:blipFill>
        <a:blip xmlns:r="http://schemas.openxmlformats.org/officeDocument/2006/relationships" r:embed="rId1"/>
        <a:stretch>
          <a:fillRect/>
        </a:stretch>
      </xdr:blipFill>
      <xdr:spPr>
        <a:xfrm>
          <a:off x="8848725" y="1114425"/>
          <a:ext cx="5944430" cy="49346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id Lizarazo" id="{EABDDD69-A9E9-482F-A98B-E6C7B27EF960}" userId="S::dlizarazo@overlap.net::3a6c8610-7e19-42a3-9739-3f8117329a0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5E844E-C7D2-46B9-941E-2E73EA38F5FF}" name="Tabla2" displayName="Tabla2" ref="A1:H9" totalsRowShown="0" headerRowDxfId="14" dataDxfId="13">
  <autoFilter ref="A1:H9" xr:uid="{FE5E844E-C7D2-46B9-941E-2E73EA38F5FF}"/>
  <tableColumns count="8">
    <tableColumn id="1" xr3:uid="{9F2FA823-60B8-4323-B6F1-8A31B684C9FC}" name="Fuente de Información" dataDxfId="12"/>
    <tableColumn id="8" xr3:uid="{DAA1DBC5-C6D5-4DEA-9320-F2B4574CCB26}" name="Descripción"/>
    <tableColumn id="2" xr3:uid="{6E058997-C877-4378-8A51-3970B0812172}" name="Periodo de Actualización" dataDxfId="11"/>
    <tableColumn id="4" xr3:uid="{3DA922F4-69CD-4A9C-94A6-BB1F8A38B6AA}" name="Responsable/Custodio Técnico" dataDxfId="10"/>
    <tableColumn id="5" xr3:uid="{7802059A-5F90-4D14-8EA1-E53A1FFEEC1F}" name="Responsable/Custodio Funcional" dataDxfId="9"/>
    <tableColumn id="6" xr3:uid="{BF57F374-895B-4C96-9D95-72891F75A929}" name="indicador asociado" dataDxfId="8"/>
    <tableColumn id="7" xr3:uid="{BCD50984-B99E-4789-BC8A-1E6385BD2C01}" name="Decision de negocio" dataDxfId="7"/>
    <tableColumn id="3" xr3:uid="{8BAD876A-1755-4818-BBB3-FCF9F122C544}"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33A562-87E3-446C-85C3-5FDEBF0F8937}" name="Tabla3" displayName="Tabla3" ref="A1:H48" totalsRowShown="0" headerRowDxfId="5">
  <autoFilter ref="A1:H48" xr:uid="{7333A562-87E3-446C-85C3-5FDEBF0F8937}"/>
  <tableColumns count="8">
    <tableColumn id="1" xr3:uid="{41DAC4C6-27CA-4287-B897-55E06EEFB134}" name="#" dataDxfId="4"/>
    <tableColumn id="2" xr3:uid="{F99D096A-4829-4891-90C7-32698B768E40}" name="nombre estandar" dataDxfId="3"/>
    <tableColumn id="4" xr3:uid="{C6EC7D08-7D36-42E6-A15A-881A871C2282}" name="Capa Final" dataDxfId="2"/>
    <tableColumn id="5" xr3:uid="{19018DDD-0FCC-4069-9F63-16763BAFC7DF}" name="Estado" dataDxfId="1"/>
    <tableColumn id="6" xr3:uid="{742BDE61-1D99-4732-A83A-EEE1C1D477A4}" name="Observación" dataDxfId="0"/>
    <tableColumn id="7" xr3:uid="{15941DF1-AA2B-4974-A640-D26F5D515599}" name="Descripción"/>
    <tableColumn id="8" xr3:uid="{FADDA6F4-44E5-40AD-947A-BB58F2706ED1}" name="ultima actualización"/>
    <tableColumn id="9" xr3:uid="{CD901BF0-E200-4616-B7CB-0471FC8D3A8F}" name="proxima actualizacion"/>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5-09-03T20:44:28.04" personId="{EABDDD69-A9E9-482F-A98B-E6C7B27EF960}" id="{AE4F3CAB-1B48-49AA-A2B3-0C94CB892963}">
    <text>Los datos del maestro de persona muestran datos desactualizados o hay datos erróneos por autogestión de los aliados</text>
  </threadedComment>
  <threadedComment ref="B2" dT="2025-09-03T20:45:04.91" personId="{EABDDD69-A9E9-482F-A98B-E6C7B27EF960}" id="{23FAA602-C6DE-4795-A780-D4D52135F1B0}" parentId="{AE4F3CAB-1B48-49AA-A2B3-0C94CB892963}">
    <text>Johana marquez revisa la data de maestro de personas</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11-19T11:50:43.83" personId="{EABDDD69-A9E9-482F-A98B-E6C7B27EF960}" id="{98DD7679-0137-4E6C-B196-C20EACACEC58}">
    <text>FuenteOrigen_Tipomedicion_descripcion</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5-11-19T11:50:43.83" personId="{EABDDD69-A9E9-482F-A98B-E6C7B27EF960}" id="{B4EE09F2-A720-4FD4-8FE2-F5F0D329D89B}">
    <text>FuenteOrigen_Tipomedicion_descripcion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13C4-442A-484A-BFF9-A164E8B72302}">
  <dimension ref="A2:E9"/>
  <sheetViews>
    <sheetView workbookViewId="0">
      <selection activeCell="A8" sqref="A8"/>
    </sheetView>
  </sheetViews>
  <sheetFormatPr baseColWidth="10" defaultColWidth="11.3984375" defaultRowHeight="14.25" x14ac:dyDescent="0.45"/>
  <cols>
    <col min="1" max="1" width="152.59765625" bestFit="1" customWidth="1"/>
    <col min="2" max="2" width="27.86328125" bestFit="1" customWidth="1"/>
    <col min="3" max="3" width="38.3984375" bestFit="1" customWidth="1"/>
  </cols>
  <sheetData>
    <row r="2" spans="1:5" x14ac:dyDescent="0.45">
      <c r="A2" s="1" t="s">
        <v>0</v>
      </c>
    </row>
    <row r="3" spans="1:5" x14ac:dyDescent="0.45">
      <c r="A3" t="s">
        <v>1</v>
      </c>
    </row>
    <row r="6" spans="1:5" x14ac:dyDescent="0.45">
      <c r="A6" t="s">
        <v>2</v>
      </c>
      <c r="B6" t="s">
        <v>3</v>
      </c>
      <c r="C6" t="s">
        <v>4</v>
      </c>
      <c r="D6" t="s">
        <v>5</v>
      </c>
      <c r="E6" t="s">
        <v>6</v>
      </c>
    </row>
    <row r="7" spans="1:5" x14ac:dyDescent="0.45">
      <c r="A7" t="s">
        <v>7</v>
      </c>
      <c r="B7" t="s">
        <v>8</v>
      </c>
      <c r="C7" t="s">
        <v>9</v>
      </c>
      <c r="D7" s="2">
        <v>45903</v>
      </c>
      <c r="E7" s="2">
        <v>45905</v>
      </c>
    </row>
    <row r="8" spans="1:5" ht="63" customHeight="1" x14ac:dyDescent="0.45">
      <c r="A8" s="6" t="s">
        <v>10</v>
      </c>
      <c r="B8" s="4" t="s">
        <v>8</v>
      </c>
      <c r="C8" s="3" t="s">
        <v>11</v>
      </c>
      <c r="D8" s="5">
        <v>45908</v>
      </c>
      <c r="E8" s="5">
        <v>45909</v>
      </c>
    </row>
    <row r="9" spans="1:5" x14ac:dyDescent="0.45">
      <c r="A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4588-CB77-4C20-A8A7-FC6E5CF6772E}">
  <dimension ref="A1:H9"/>
  <sheetViews>
    <sheetView topLeftCell="A2" zoomScale="130" zoomScaleNormal="130" workbookViewId="0">
      <selection activeCell="C2" sqref="C2"/>
    </sheetView>
  </sheetViews>
  <sheetFormatPr baseColWidth="10" defaultColWidth="11.3984375" defaultRowHeight="14.25" x14ac:dyDescent="0.45"/>
  <cols>
    <col min="1" max="6" width="24.3984375" customWidth="1"/>
    <col min="7" max="7" width="35.59765625" customWidth="1"/>
    <col min="8" max="8" width="25.1328125" customWidth="1"/>
  </cols>
  <sheetData>
    <row r="1" spans="1:8" ht="28.5" x14ac:dyDescent="0.45">
      <c r="A1" s="8" t="s">
        <v>13</v>
      </c>
      <c r="B1" s="8" t="s">
        <v>14</v>
      </c>
      <c r="C1" s="8" t="s">
        <v>15</v>
      </c>
      <c r="D1" s="8" t="s">
        <v>16</v>
      </c>
      <c r="E1" s="8" t="s">
        <v>17</v>
      </c>
      <c r="F1" s="8" t="s">
        <v>18</v>
      </c>
      <c r="G1" s="8" t="s">
        <v>19</v>
      </c>
      <c r="H1" s="8" t="s">
        <v>20</v>
      </c>
    </row>
    <row r="2" spans="1:8" ht="156.75" x14ac:dyDescent="0.45">
      <c r="A2" s="7" t="s">
        <v>21</v>
      </c>
      <c r="B2" s="7" t="s">
        <v>22</v>
      </c>
      <c r="C2" s="7" t="s">
        <v>23</v>
      </c>
      <c r="D2" s="7" t="s">
        <v>24</v>
      </c>
      <c r="E2" s="7" t="s">
        <v>25</v>
      </c>
      <c r="F2" s="7" t="s">
        <v>26</v>
      </c>
      <c r="G2" s="9" t="s">
        <v>27</v>
      </c>
      <c r="H2" s="7" t="s">
        <v>28</v>
      </c>
    </row>
    <row r="3" spans="1:8" ht="85.5" x14ac:dyDescent="0.45">
      <c r="A3" s="7" t="s">
        <v>29</v>
      </c>
      <c r="B3" s="7" t="s">
        <v>30</v>
      </c>
      <c r="C3" s="7" t="s">
        <v>31</v>
      </c>
      <c r="D3" s="7" t="s">
        <v>24</v>
      </c>
      <c r="E3" s="7" t="s">
        <v>32</v>
      </c>
      <c r="F3" s="7" t="s">
        <v>33</v>
      </c>
      <c r="G3" s="7" t="s">
        <v>34</v>
      </c>
      <c r="H3" s="7"/>
    </row>
    <row r="4" spans="1:8" ht="99.75" x14ac:dyDescent="0.45">
      <c r="A4" s="7" t="s">
        <v>35</v>
      </c>
      <c r="B4" s="7" t="s">
        <v>36</v>
      </c>
      <c r="C4" s="7" t="s">
        <v>23</v>
      </c>
      <c r="D4" s="7" t="s">
        <v>37</v>
      </c>
      <c r="E4" s="7" t="s">
        <v>38</v>
      </c>
      <c r="F4" s="7" t="s">
        <v>39</v>
      </c>
      <c r="G4" s="7" t="s">
        <v>40</v>
      </c>
      <c r="H4" s="7"/>
    </row>
    <row r="5" spans="1:8" ht="57" x14ac:dyDescent="0.45">
      <c r="A5" s="7" t="s">
        <v>41</v>
      </c>
      <c r="B5" s="4" t="s">
        <v>42</v>
      </c>
      <c r="C5" s="7" t="s">
        <v>43</v>
      </c>
      <c r="D5" s="7" t="s">
        <v>44</v>
      </c>
      <c r="E5" s="7" t="s">
        <v>45</v>
      </c>
      <c r="F5" s="7" t="s">
        <v>46</v>
      </c>
      <c r="G5" s="7" t="s">
        <v>47</v>
      </c>
      <c r="H5" s="7"/>
    </row>
    <row r="6" spans="1:8" ht="42.75" x14ac:dyDescent="0.45">
      <c r="A6" s="7" t="s">
        <v>48</v>
      </c>
      <c r="B6" s="7" t="s">
        <v>49</v>
      </c>
      <c r="C6" s="7" t="s">
        <v>50</v>
      </c>
      <c r="D6" s="7" t="s">
        <v>24</v>
      </c>
      <c r="E6" s="7" t="s">
        <v>51</v>
      </c>
      <c r="F6" s="7" t="s">
        <v>52</v>
      </c>
      <c r="G6" s="7" t="s">
        <v>53</v>
      </c>
      <c r="H6" s="7"/>
    </row>
    <row r="7" spans="1:8" ht="71.25" x14ac:dyDescent="0.45">
      <c r="A7" s="7" t="s">
        <v>54</v>
      </c>
      <c r="B7" s="7" t="s">
        <v>55</v>
      </c>
      <c r="C7" s="7" t="s">
        <v>56</v>
      </c>
      <c r="D7" s="7" t="s">
        <v>57</v>
      </c>
      <c r="E7" s="7" t="s">
        <v>58</v>
      </c>
      <c r="F7" s="7" t="s">
        <v>59</v>
      </c>
      <c r="G7" s="7" t="s">
        <v>60</v>
      </c>
      <c r="H7" s="7"/>
    </row>
    <row r="8" spans="1:8" ht="71.25" x14ac:dyDescent="0.45">
      <c r="A8" s="7" t="s">
        <v>61</v>
      </c>
      <c r="B8" s="7" t="s">
        <v>62</v>
      </c>
      <c r="C8" s="7" t="s">
        <v>56</v>
      </c>
      <c r="D8" s="7" t="s">
        <v>57</v>
      </c>
      <c r="E8" s="7" t="s">
        <v>58</v>
      </c>
      <c r="F8" s="7" t="s">
        <v>63</v>
      </c>
      <c r="G8" s="7" t="s">
        <v>64</v>
      </c>
      <c r="H8" s="7"/>
    </row>
    <row r="9" spans="1:8" ht="71.25" x14ac:dyDescent="0.45">
      <c r="A9" s="7" t="s">
        <v>65</v>
      </c>
      <c r="B9" s="10" t="s">
        <v>66</v>
      </c>
      <c r="C9" s="7" t="s">
        <v>67</v>
      </c>
      <c r="D9" s="7" t="s">
        <v>24</v>
      </c>
      <c r="E9" s="7" t="s">
        <v>68</v>
      </c>
      <c r="F9" s="7" t="s">
        <v>69</v>
      </c>
      <c r="G9" s="7" t="s">
        <v>70</v>
      </c>
      <c r="H9" s="7"/>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9E8B-B657-4DF3-B8B8-2C21CCE2D88E}">
  <dimension ref="A1:H48"/>
  <sheetViews>
    <sheetView tabSelected="1" topLeftCell="A2" zoomScale="120" zoomScaleNormal="120" workbookViewId="0">
      <selection activeCell="A17" sqref="A17:XFD19"/>
    </sheetView>
  </sheetViews>
  <sheetFormatPr baseColWidth="10" defaultColWidth="11.3984375" defaultRowHeight="14.25" x14ac:dyDescent="0.45"/>
  <cols>
    <col min="1" max="1" width="3.1328125" customWidth="1"/>
    <col min="2" max="2" width="35.59765625" bestFit="1" customWidth="1"/>
    <col min="3" max="3" width="11.86328125" customWidth="1"/>
    <col min="4" max="4" width="10.265625" customWidth="1"/>
    <col min="5" max="5" width="33.1328125" customWidth="1"/>
    <col min="6" max="6" width="34.73046875" bestFit="1" customWidth="1"/>
    <col min="7" max="7" width="36.59765625" customWidth="1"/>
    <col min="8" max="8" width="18.3984375" customWidth="1"/>
    <col min="9" max="9" width="19.86328125" customWidth="1"/>
  </cols>
  <sheetData>
    <row r="1" spans="1:8" x14ac:dyDescent="0.45">
      <c r="A1" s="14" t="s">
        <v>71</v>
      </c>
      <c r="B1" t="s">
        <v>72</v>
      </c>
      <c r="C1" s="15" t="s">
        <v>73</v>
      </c>
      <c r="D1" s="15" t="s">
        <v>74</v>
      </c>
      <c r="E1" s="15" t="s">
        <v>75</v>
      </c>
      <c r="F1" t="s">
        <v>14</v>
      </c>
      <c r="G1" s="15" t="s">
        <v>76</v>
      </c>
      <c r="H1" s="15" t="s">
        <v>77</v>
      </c>
    </row>
    <row r="2" spans="1:8" s="6" customFormat="1" ht="28.5" x14ac:dyDescent="0.45">
      <c r="A2" s="10">
        <v>1</v>
      </c>
      <c r="B2" s="6" t="s">
        <v>78</v>
      </c>
      <c r="C2" s="6" t="s">
        <v>79</v>
      </c>
      <c r="D2" s="6" t="s">
        <v>80</v>
      </c>
      <c r="E2" s="10" t="s">
        <v>81</v>
      </c>
      <c r="F2" s="6" t="s">
        <v>82</v>
      </c>
      <c r="G2" s="6" t="s">
        <v>83</v>
      </c>
      <c r="H2" s="21">
        <v>45991</v>
      </c>
    </row>
    <row r="3" spans="1:8" ht="28.5" x14ac:dyDescent="0.45">
      <c r="A3" s="10">
        <v>2</v>
      </c>
      <c r="B3" s="6" t="s">
        <v>84</v>
      </c>
      <c r="C3" s="6" t="s">
        <v>79</v>
      </c>
      <c r="D3" s="6" t="s">
        <v>80</v>
      </c>
      <c r="E3" s="10" t="s">
        <v>85</v>
      </c>
      <c r="F3" s="6" t="s">
        <v>86</v>
      </c>
      <c r="G3" s="6" t="s">
        <v>87</v>
      </c>
      <c r="H3" s="21">
        <v>45991</v>
      </c>
    </row>
    <row r="4" spans="1:8" x14ac:dyDescent="0.45">
      <c r="A4" s="10">
        <v>3</v>
      </c>
      <c r="B4" s="6" t="s">
        <v>88</v>
      </c>
      <c r="C4" s="6" t="s">
        <v>79</v>
      </c>
      <c r="D4" s="6" t="s">
        <v>80</v>
      </c>
      <c r="E4" s="6" t="s">
        <v>89</v>
      </c>
      <c r="F4" s="6" t="s">
        <v>90</v>
      </c>
      <c r="G4" s="6" t="s">
        <v>91</v>
      </c>
      <c r="H4" s="6"/>
    </row>
    <row r="5" spans="1:8" x14ac:dyDescent="0.45">
      <c r="A5" s="10">
        <v>4</v>
      </c>
      <c r="B5" t="s">
        <v>92</v>
      </c>
      <c r="C5" s="6" t="s">
        <v>79</v>
      </c>
      <c r="D5" s="6" t="s">
        <v>80</v>
      </c>
      <c r="E5" s="6" t="s">
        <v>93</v>
      </c>
      <c r="F5" s="6" t="s">
        <v>94</v>
      </c>
      <c r="G5" s="6" t="s">
        <v>95</v>
      </c>
      <c r="H5" s="21"/>
    </row>
    <row r="6" spans="1:8" x14ac:dyDescent="0.45">
      <c r="A6" s="10"/>
      <c r="B6" s="6" t="s">
        <v>96</v>
      </c>
      <c r="C6" s="6" t="s">
        <v>97</v>
      </c>
      <c r="D6" s="6" t="s">
        <v>80</v>
      </c>
      <c r="E6" s="6" t="s">
        <v>89</v>
      </c>
      <c r="F6" s="6" t="s">
        <v>90</v>
      </c>
      <c r="G6" s="6" t="s">
        <v>91</v>
      </c>
      <c r="H6" s="6"/>
    </row>
    <row r="7" spans="1:8" x14ac:dyDescent="0.45">
      <c r="A7" s="10"/>
      <c r="B7" t="s">
        <v>98</v>
      </c>
      <c r="C7" s="6" t="s">
        <v>97</v>
      </c>
      <c r="D7" s="6" t="s">
        <v>80</v>
      </c>
      <c r="E7" s="6" t="s">
        <v>93</v>
      </c>
      <c r="F7" s="6" t="s">
        <v>94</v>
      </c>
      <c r="G7" s="6" t="s">
        <v>95</v>
      </c>
      <c r="H7" s="21"/>
    </row>
    <row r="8" spans="1:8" ht="42.75" x14ac:dyDescent="0.45">
      <c r="A8" s="10"/>
      <c r="B8" t="s">
        <v>99</v>
      </c>
      <c r="C8" s="6" t="s">
        <v>97</v>
      </c>
      <c r="D8" s="6" t="s">
        <v>80</v>
      </c>
      <c r="E8" s="10" t="s">
        <v>100</v>
      </c>
      <c r="F8" s="6" t="s">
        <v>101</v>
      </c>
      <c r="G8" s="23">
        <f ca="1">TODAY()</f>
        <v>46006</v>
      </c>
      <c r="H8" s="21"/>
    </row>
    <row r="9" spans="1:8" ht="42.75" x14ac:dyDescent="0.45">
      <c r="A9" s="10"/>
      <c r="B9" t="s">
        <v>102</v>
      </c>
      <c r="C9" s="6" t="s">
        <v>79</v>
      </c>
      <c r="D9" s="6" t="s">
        <v>80</v>
      </c>
      <c r="E9" s="10" t="s">
        <v>100</v>
      </c>
      <c r="F9" s="6" t="s">
        <v>101</v>
      </c>
      <c r="G9" s="23">
        <f ca="1">TODAY()</f>
        <v>46006</v>
      </c>
      <c r="H9" s="21"/>
    </row>
    <row r="10" spans="1:8" ht="42.75" x14ac:dyDescent="0.45">
      <c r="A10" s="10"/>
      <c r="B10" t="s">
        <v>103</v>
      </c>
      <c r="C10" s="6" t="s">
        <v>97</v>
      </c>
      <c r="D10" s="6" t="s">
        <v>80</v>
      </c>
      <c r="E10" s="10" t="s">
        <v>104</v>
      </c>
      <c r="F10" s="6" t="s">
        <v>105</v>
      </c>
      <c r="G10" s="23"/>
      <c r="H10" s="21"/>
    </row>
    <row r="11" spans="1:8" ht="42.75" x14ac:dyDescent="0.45">
      <c r="A11" s="10"/>
      <c r="B11" t="s">
        <v>106</v>
      </c>
      <c r="C11" s="6" t="s">
        <v>79</v>
      </c>
      <c r="D11" s="6" t="s">
        <v>80</v>
      </c>
      <c r="E11" s="10" t="s">
        <v>104</v>
      </c>
      <c r="F11" s="6" t="s">
        <v>105</v>
      </c>
      <c r="G11" s="23"/>
      <c r="H11" s="21"/>
    </row>
    <row r="12" spans="1:8" x14ac:dyDescent="0.45">
      <c r="A12" s="10"/>
      <c r="C12" s="6"/>
      <c r="D12" s="6"/>
      <c r="E12" s="10"/>
      <c r="F12" s="6"/>
      <c r="G12" s="23"/>
      <c r="H12" s="21"/>
    </row>
    <row r="13" spans="1:8" x14ac:dyDescent="0.45">
      <c r="A13" s="10"/>
      <c r="C13" s="6"/>
      <c r="D13" s="6"/>
      <c r="E13" s="10"/>
      <c r="F13" s="6"/>
      <c r="G13" s="23"/>
      <c r="H13" s="21"/>
    </row>
    <row r="14" spans="1:8" x14ac:dyDescent="0.45">
      <c r="A14" s="10">
        <v>5</v>
      </c>
      <c r="B14" t="s">
        <v>107</v>
      </c>
      <c r="C14" s="6" t="s">
        <v>79</v>
      </c>
      <c r="D14" s="6" t="s">
        <v>80</v>
      </c>
      <c r="E14" t="s">
        <v>107</v>
      </c>
      <c r="F14" t="s">
        <v>108</v>
      </c>
      <c r="G14" s="6"/>
      <c r="H14" s="21"/>
    </row>
    <row r="15" spans="1:8" ht="42.75" x14ac:dyDescent="0.45">
      <c r="A15" s="10"/>
      <c r="B15" s="6" t="s">
        <v>78</v>
      </c>
      <c r="C15" s="6" t="s">
        <v>79</v>
      </c>
      <c r="D15" s="6" t="s">
        <v>80</v>
      </c>
      <c r="E15" s="10" t="s">
        <v>109</v>
      </c>
      <c r="F15" s="6"/>
      <c r="G15" s="22">
        <v>45901</v>
      </c>
      <c r="H15" s="21">
        <v>45989</v>
      </c>
    </row>
    <row r="16" spans="1:8" ht="28.5" x14ac:dyDescent="0.45">
      <c r="A16" s="10"/>
      <c r="B16" s="6" t="s">
        <v>110</v>
      </c>
      <c r="C16" s="6" t="s">
        <v>79</v>
      </c>
      <c r="D16" s="6" t="s">
        <v>111</v>
      </c>
      <c r="E16" s="10" t="s">
        <v>112</v>
      </c>
      <c r="F16" s="6"/>
      <c r="G16" s="22"/>
      <c r="H16" s="21"/>
    </row>
    <row r="17" spans="1:8" x14ac:dyDescent="0.45">
      <c r="A17" s="10"/>
      <c r="B17" s="6" t="s">
        <v>113</v>
      </c>
      <c r="C17" s="6" t="s">
        <v>79</v>
      </c>
      <c r="D17" s="6"/>
    </row>
    <row r="18" spans="1:8" x14ac:dyDescent="0.45">
      <c r="A18" s="10"/>
      <c r="B18" s="6" t="s">
        <v>114</v>
      </c>
      <c r="C18" s="6" t="s">
        <v>79</v>
      </c>
      <c r="D18" s="6"/>
    </row>
    <row r="19" spans="1:8" x14ac:dyDescent="0.45">
      <c r="A19" s="10"/>
      <c r="B19" s="6" t="s">
        <v>115</v>
      </c>
      <c r="C19" s="6" t="s">
        <v>79</v>
      </c>
      <c r="D19" s="6" t="s">
        <v>111</v>
      </c>
      <c r="E19" t="s">
        <v>116</v>
      </c>
    </row>
    <row r="20" spans="1:8" x14ac:dyDescent="0.45">
      <c r="A20" s="10"/>
      <c r="B20" s="10"/>
      <c r="C20" s="6"/>
      <c r="D20" s="6"/>
      <c r="E20" s="10"/>
      <c r="F20" s="6" t="s">
        <v>117</v>
      </c>
    </row>
    <row r="21" spans="1:8" x14ac:dyDescent="0.45">
      <c r="A21" s="10"/>
      <c r="B21" s="6" t="s">
        <v>118</v>
      </c>
      <c r="C21" s="6" t="s">
        <v>79</v>
      </c>
      <c r="D21" s="6"/>
    </row>
    <row r="22" spans="1:8" x14ac:dyDescent="0.45">
      <c r="A22" s="10"/>
      <c r="B22" s="10"/>
      <c r="C22" s="6"/>
      <c r="D22" s="6"/>
      <c r="E22" s="10"/>
    </row>
    <row r="23" spans="1:8" x14ac:dyDescent="0.45">
      <c r="A23" s="10"/>
      <c r="B23" t="s">
        <v>119</v>
      </c>
      <c r="C23" s="6" t="s">
        <v>79</v>
      </c>
      <c r="D23" s="6" t="s">
        <v>80</v>
      </c>
      <c r="E23" t="s">
        <v>119</v>
      </c>
    </row>
    <row r="24" spans="1:8" x14ac:dyDescent="0.45">
      <c r="A24" s="10"/>
      <c r="B24" s="6" t="s">
        <v>110</v>
      </c>
      <c r="C24" s="6" t="s">
        <v>79</v>
      </c>
      <c r="D24" s="6"/>
    </row>
    <row r="25" spans="1:8" x14ac:dyDescent="0.45">
      <c r="A25" s="10"/>
      <c r="B25" s="6" t="s">
        <v>120</v>
      </c>
      <c r="C25" s="6" t="s">
        <v>79</v>
      </c>
      <c r="D25" s="6"/>
    </row>
    <row r="26" spans="1:8" ht="28.5" x14ac:dyDescent="0.45">
      <c r="A26" s="10"/>
      <c r="B26" t="s">
        <v>121</v>
      </c>
      <c r="C26" s="6" t="s">
        <v>79</v>
      </c>
      <c r="D26" s="6" t="s">
        <v>122</v>
      </c>
      <c r="E26" s="10" t="s">
        <v>123</v>
      </c>
      <c r="F26" s="6" t="s">
        <v>124</v>
      </c>
      <c r="G26" s="6" t="s">
        <v>125</v>
      </c>
      <c r="H26" s="21">
        <v>45991</v>
      </c>
    </row>
    <row r="27" spans="1:8" x14ac:dyDescent="0.45">
      <c r="A27" s="10"/>
      <c r="B27" s="6" t="s">
        <v>126</v>
      </c>
      <c r="C27" s="6" t="s">
        <v>79</v>
      </c>
      <c r="D27" s="6"/>
    </row>
    <row r="28" spans="1:8" x14ac:dyDescent="0.45">
      <c r="A28" s="10"/>
      <c r="B28" s="6" t="s">
        <v>127</v>
      </c>
      <c r="C28" s="6" t="s">
        <v>79</v>
      </c>
      <c r="D28" s="6"/>
    </row>
    <row r="29" spans="1:8" x14ac:dyDescent="0.45">
      <c r="A29" s="10"/>
      <c r="B29" s="6" t="s">
        <v>128</v>
      </c>
      <c r="C29" s="6" t="s">
        <v>79</v>
      </c>
      <c r="D29" s="6" t="s">
        <v>80</v>
      </c>
      <c r="E29" s="6" t="s">
        <v>128</v>
      </c>
    </row>
    <row r="30" spans="1:8" x14ac:dyDescent="0.45">
      <c r="A30" s="10"/>
      <c r="B30" s="6" t="s">
        <v>129</v>
      </c>
      <c r="C30" s="6" t="s">
        <v>79</v>
      </c>
      <c r="D30" s="6"/>
    </row>
    <row r="31" spans="1:8" x14ac:dyDescent="0.45">
      <c r="A31" s="10"/>
      <c r="B31" s="6" t="s">
        <v>130</v>
      </c>
      <c r="C31" s="6" t="s">
        <v>79</v>
      </c>
      <c r="D31" s="6"/>
    </row>
    <row r="32" spans="1:8" x14ac:dyDescent="0.45">
      <c r="A32" s="10"/>
      <c r="B32" s="6" t="s">
        <v>131</v>
      </c>
      <c r="C32" s="6" t="s">
        <v>79</v>
      </c>
      <c r="D32" s="6"/>
    </row>
    <row r="33" spans="1:5" x14ac:dyDescent="0.45">
      <c r="A33" s="10"/>
      <c r="B33" s="6" t="s">
        <v>132</v>
      </c>
      <c r="C33" s="6" t="s">
        <v>79</v>
      </c>
      <c r="D33" s="6"/>
    </row>
    <row r="34" spans="1:5" x14ac:dyDescent="0.45">
      <c r="A34" s="10"/>
      <c r="B34" s="6" t="s">
        <v>133</v>
      </c>
      <c r="C34" s="6" t="s">
        <v>79</v>
      </c>
      <c r="D34" s="6"/>
    </row>
    <row r="35" spans="1:5" x14ac:dyDescent="0.45">
      <c r="A35" s="10"/>
      <c r="B35" s="6" t="s">
        <v>134</v>
      </c>
      <c r="C35" s="6" t="s">
        <v>79</v>
      </c>
      <c r="D35" s="6"/>
    </row>
    <row r="36" spans="1:5" x14ac:dyDescent="0.45">
      <c r="A36" s="10"/>
      <c r="B36" s="6" t="s">
        <v>135</v>
      </c>
      <c r="C36" s="6" t="s">
        <v>79</v>
      </c>
      <c r="D36" s="6"/>
    </row>
    <row r="37" spans="1:5" x14ac:dyDescent="0.45">
      <c r="A37" s="10"/>
      <c r="B37" s="6" t="s">
        <v>136</v>
      </c>
      <c r="C37" s="6" t="s">
        <v>79</v>
      </c>
      <c r="D37" s="6" t="s">
        <v>111</v>
      </c>
      <c r="E37" t="s">
        <v>136</v>
      </c>
    </row>
    <row r="38" spans="1:5" x14ac:dyDescent="0.45">
      <c r="A38" s="10"/>
      <c r="B38" s="6" t="s">
        <v>137</v>
      </c>
      <c r="C38" s="6" t="s">
        <v>79</v>
      </c>
      <c r="D38" s="6"/>
    </row>
    <row r="39" spans="1:5" x14ac:dyDescent="0.45">
      <c r="A39" s="10"/>
      <c r="B39" s="6" t="s">
        <v>138</v>
      </c>
      <c r="C39" s="6" t="s">
        <v>79</v>
      </c>
      <c r="D39" s="6"/>
    </row>
    <row r="40" spans="1:5" x14ac:dyDescent="0.45">
      <c r="A40" s="10"/>
      <c r="B40" s="6" t="s">
        <v>139</v>
      </c>
      <c r="C40" s="6" t="s">
        <v>79</v>
      </c>
      <c r="D40" s="6"/>
    </row>
    <row r="41" spans="1:5" x14ac:dyDescent="0.45">
      <c r="A41" s="10"/>
      <c r="B41" s="10" t="s">
        <v>140</v>
      </c>
      <c r="C41" s="6" t="s">
        <v>97</v>
      </c>
      <c r="D41" s="6" t="s">
        <v>80</v>
      </c>
      <c r="E41" s="10" t="s">
        <v>140</v>
      </c>
    </row>
    <row r="42" spans="1:5" x14ac:dyDescent="0.45">
      <c r="A42" s="10"/>
      <c r="B42" s="10" t="s">
        <v>141</v>
      </c>
      <c r="C42" s="6" t="s">
        <v>97</v>
      </c>
      <c r="D42" s="6" t="s">
        <v>142</v>
      </c>
      <c r="E42" s="10" t="s">
        <v>141</v>
      </c>
    </row>
    <row r="43" spans="1:5" x14ac:dyDescent="0.45">
      <c r="A43" s="10"/>
      <c r="B43" s="10" t="s">
        <v>143</v>
      </c>
      <c r="C43" s="6" t="s">
        <v>97</v>
      </c>
      <c r="D43" s="6" t="s">
        <v>80</v>
      </c>
      <c r="E43" s="10" t="s">
        <v>143</v>
      </c>
    </row>
    <row r="44" spans="1:5" x14ac:dyDescent="0.45">
      <c r="A44" s="10"/>
      <c r="B44" s="10" t="s">
        <v>144</v>
      </c>
      <c r="C44" s="6" t="s">
        <v>97</v>
      </c>
      <c r="D44" s="6" t="s">
        <v>142</v>
      </c>
      <c r="E44" s="10" t="s">
        <v>144</v>
      </c>
    </row>
    <row r="45" spans="1:5" x14ac:dyDescent="0.45">
      <c r="A45" s="10"/>
      <c r="B45" s="10" t="s">
        <v>145</v>
      </c>
      <c r="C45" s="6" t="s">
        <v>97</v>
      </c>
      <c r="D45" s="6" t="s">
        <v>142</v>
      </c>
      <c r="E45" s="10" t="s">
        <v>145</v>
      </c>
    </row>
    <row r="46" spans="1:5" x14ac:dyDescent="0.45">
      <c r="A46" s="10"/>
      <c r="B46" s="10" t="s">
        <v>146</v>
      </c>
      <c r="C46" s="6" t="s">
        <v>97</v>
      </c>
      <c r="D46" s="6" t="s">
        <v>80</v>
      </c>
      <c r="E46" s="10" t="s">
        <v>146</v>
      </c>
    </row>
    <row r="47" spans="1:5" x14ac:dyDescent="0.45">
      <c r="A47" s="10"/>
      <c r="B47" t="s">
        <v>147</v>
      </c>
      <c r="C47" s="6" t="s">
        <v>97</v>
      </c>
      <c r="D47" s="6" t="s">
        <v>80</v>
      </c>
      <c r="E47" t="s">
        <v>147</v>
      </c>
    </row>
    <row r="48" spans="1:5" x14ac:dyDescent="0.45">
      <c r="A48" s="10"/>
      <c r="B48" t="s">
        <v>148</v>
      </c>
      <c r="C48" s="6" t="s">
        <v>79</v>
      </c>
      <c r="D48" s="6" t="s">
        <v>80</v>
      </c>
      <c r="E48" t="s">
        <v>148</v>
      </c>
    </row>
  </sheetData>
  <phoneticPr fontId="6"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932A-D67E-48B7-8F6C-42322A4A0233}">
  <dimension ref="A1:I10"/>
  <sheetViews>
    <sheetView workbookViewId="0">
      <selection activeCell="A2" sqref="A2"/>
    </sheetView>
  </sheetViews>
  <sheetFormatPr baseColWidth="10" defaultColWidth="9" defaultRowHeight="14.25" x14ac:dyDescent="0.45"/>
  <cols>
    <col min="2" max="2" width="40.1328125" customWidth="1"/>
    <col min="3" max="3" width="11.59765625" bestFit="1" customWidth="1"/>
    <col min="4" max="4" width="9.86328125" bestFit="1" customWidth="1"/>
    <col min="6" max="6" width="39.86328125" customWidth="1"/>
    <col min="7" max="7" width="49.59765625" customWidth="1"/>
    <col min="8" max="8" width="18.86328125" bestFit="1" customWidth="1"/>
    <col min="9" max="9" width="20.3984375" bestFit="1" customWidth="1"/>
  </cols>
  <sheetData>
    <row r="1" spans="1:9" x14ac:dyDescent="0.45">
      <c r="A1" s="16" t="s">
        <v>71</v>
      </c>
      <c r="B1" s="17" t="s">
        <v>149</v>
      </c>
      <c r="C1" s="17" t="s">
        <v>150</v>
      </c>
      <c r="D1" s="17" t="s">
        <v>151</v>
      </c>
      <c r="E1" s="17" t="s">
        <v>74</v>
      </c>
      <c r="F1" s="18" t="s">
        <v>72</v>
      </c>
      <c r="G1" s="18" t="s">
        <v>14</v>
      </c>
      <c r="H1" s="17" t="s">
        <v>76</v>
      </c>
      <c r="I1" s="19" t="s">
        <v>77</v>
      </c>
    </row>
    <row r="2" spans="1:9" ht="28.5" x14ac:dyDescent="0.45">
      <c r="A2" s="4">
        <f t="shared" ref="A2:A10" si="0">ROW() - ROW($A$2) + 1</f>
        <v>1</v>
      </c>
      <c r="B2" s="20" t="s">
        <v>152</v>
      </c>
      <c r="C2" s="4" t="s">
        <v>153</v>
      </c>
      <c r="D2" s="4" t="s">
        <v>153</v>
      </c>
      <c r="E2" s="4" t="s">
        <v>154</v>
      </c>
      <c r="F2" s="20" t="s">
        <v>155</v>
      </c>
      <c r="G2" s="10" t="s">
        <v>156</v>
      </c>
      <c r="H2" s="5">
        <f ca="1">TODAY()</f>
        <v>46006</v>
      </c>
      <c r="I2" s="5">
        <f ca="1">TODAY()</f>
        <v>46006</v>
      </c>
    </row>
    <row r="3" spans="1:9" ht="28.5" x14ac:dyDescent="0.45">
      <c r="A3" s="4">
        <f t="shared" si="0"/>
        <v>2</v>
      </c>
      <c r="B3" s="20" t="s">
        <v>157</v>
      </c>
      <c r="C3" s="4" t="s">
        <v>158</v>
      </c>
      <c r="D3" s="4" t="s">
        <v>158</v>
      </c>
      <c r="E3" s="4" t="s">
        <v>154</v>
      </c>
      <c r="F3" s="9" t="s">
        <v>159</v>
      </c>
      <c r="G3" s="10" t="s">
        <v>160</v>
      </c>
      <c r="H3" s="4"/>
      <c r="I3" s="4"/>
    </row>
    <row r="4" spans="1:9" x14ac:dyDescent="0.45">
      <c r="A4" s="4">
        <f t="shared" si="0"/>
        <v>3</v>
      </c>
      <c r="B4" s="9" t="s">
        <v>161</v>
      </c>
      <c r="C4" s="4" t="s">
        <v>158</v>
      </c>
      <c r="D4" s="4" t="s">
        <v>158</v>
      </c>
      <c r="E4" s="4" t="s">
        <v>154</v>
      </c>
      <c r="F4" s="9" t="s">
        <v>162</v>
      </c>
      <c r="G4" s="6" t="s">
        <v>163</v>
      </c>
      <c r="H4" s="4"/>
      <c r="I4" s="4"/>
    </row>
    <row r="5" spans="1:9" ht="28.5" x14ac:dyDescent="0.45">
      <c r="A5" s="4">
        <f t="shared" si="0"/>
        <v>4</v>
      </c>
      <c r="B5" s="20" t="s">
        <v>164</v>
      </c>
      <c r="C5" s="4" t="s">
        <v>158</v>
      </c>
      <c r="D5" s="4" t="s">
        <v>158</v>
      </c>
      <c r="E5" s="4" t="s">
        <v>154</v>
      </c>
      <c r="F5" s="20" t="s">
        <v>165</v>
      </c>
      <c r="G5" s="10" t="s">
        <v>166</v>
      </c>
      <c r="H5" s="5">
        <f ca="1">TODAY()</f>
        <v>46006</v>
      </c>
      <c r="I5" s="5">
        <f ca="1">TODAY()</f>
        <v>46006</v>
      </c>
    </row>
    <row r="6" spans="1:9" x14ac:dyDescent="0.45">
      <c r="A6" s="4">
        <f t="shared" si="0"/>
        <v>5</v>
      </c>
      <c r="B6" s="20" t="s">
        <v>167</v>
      </c>
      <c r="C6" s="4" t="s">
        <v>158</v>
      </c>
      <c r="D6" s="4" t="s">
        <v>158</v>
      </c>
      <c r="E6" s="4" t="s">
        <v>154</v>
      </c>
      <c r="F6" s="9" t="s">
        <v>168</v>
      </c>
      <c r="G6" s="6" t="s">
        <v>169</v>
      </c>
      <c r="H6" s="5">
        <f ca="1">TODAY()</f>
        <v>46006</v>
      </c>
      <c r="I6" s="5">
        <f ca="1">TODAY()</f>
        <v>46006</v>
      </c>
    </row>
    <row r="7" spans="1:9" ht="25.5" customHeight="1" x14ac:dyDescent="0.45">
      <c r="A7" s="4">
        <f t="shared" si="0"/>
        <v>6</v>
      </c>
      <c r="B7" s="20" t="s">
        <v>157</v>
      </c>
      <c r="C7" s="4" t="s">
        <v>170</v>
      </c>
      <c r="D7" s="4" t="s">
        <v>170</v>
      </c>
      <c r="E7" s="4" t="s">
        <v>154</v>
      </c>
      <c r="F7" s="20" t="s">
        <v>171</v>
      </c>
      <c r="G7" s="10" t="s">
        <v>172</v>
      </c>
      <c r="H7" s="4"/>
      <c r="I7" s="4"/>
    </row>
    <row r="8" spans="1:9" x14ac:dyDescent="0.45">
      <c r="A8" s="4">
        <f t="shared" si="0"/>
        <v>7</v>
      </c>
      <c r="B8" s="20" t="s">
        <v>164</v>
      </c>
      <c r="C8" s="4" t="s">
        <v>170</v>
      </c>
      <c r="D8" s="4" t="s">
        <v>170</v>
      </c>
      <c r="E8" s="4" t="s">
        <v>154</v>
      </c>
      <c r="F8" s="20" t="s">
        <v>165</v>
      </c>
      <c r="G8" s="6" t="s">
        <v>166</v>
      </c>
      <c r="H8" s="5">
        <f t="shared" ref="H8:I10" ca="1" si="1">TODAY()</f>
        <v>46006</v>
      </c>
      <c r="I8" s="5">
        <f t="shared" ca="1" si="1"/>
        <v>46006</v>
      </c>
    </row>
    <row r="9" spans="1:9" x14ac:dyDescent="0.45">
      <c r="A9" s="4">
        <f t="shared" si="0"/>
        <v>8</v>
      </c>
      <c r="B9" s="20" t="s">
        <v>167</v>
      </c>
      <c r="C9" s="4" t="s">
        <v>170</v>
      </c>
      <c r="D9" s="4" t="s">
        <v>170</v>
      </c>
      <c r="E9" s="4" t="s">
        <v>154</v>
      </c>
      <c r="F9" s="9" t="s">
        <v>168</v>
      </c>
      <c r="G9" s="6" t="s">
        <v>169</v>
      </c>
      <c r="H9" s="5">
        <f t="shared" ca="1" si="1"/>
        <v>46006</v>
      </c>
      <c r="I9" s="5">
        <f t="shared" ca="1" si="1"/>
        <v>46006</v>
      </c>
    </row>
    <row r="10" spans="1:9" ht="42.75" x14ac:dyDescent="0.45">
      <c r="A10" s="4">
        <f t="shared" si="0"/>
        <v>9</v>
      </c>
      <c r="B10" s="9" t="s">
        <v>173</v>
      </c>
      <c r="C10" s="4" t="s">
        <v>170</v>
      </c>
      <c r="D10" s="4" t="s">
        <v>170</v>
      </c>
      <c r="E10" s="4" t="s">
        <v>154</v>
      </c>
      <c r="F10" s="9" t="s">
        <v>174</v>
      </c>
      <c r="G10" s="10" t="s">
        <v>175</v>
      </c>
      <c r="H10" s="5">
        <f t="shared" ca="1" si="1"/>
        <v>46006</v>
      </c>
      <c r="I10" s="5">
        <f t="shared" ca="1" si="1"/>
        <v>46006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5CB0-F13B-488D-BF70-59B5ADABF7C7}">
  <dimension ref="A1:A12"/>
  <sheetViews>
    <sheetView workbookViewId="0">
      <selection activeCell="A10" sqref="A10"/>
    </sheetView>
  </sheetViews>
  <sheetFormatPr baseColWidth="10" defaultColWidth="11.3984375" defaultRowHeight="18" x14ac:dyDescent="0.55000000000000004"/>
  <cols>
    <col min="1" max="1" width="10.73046875" style="12"/>
  </cols>
  <sheetData>
    <row r="1" spans="1:1" ht="20.25" x14ac:dyDescent="0.45">
      <c r="A1" s="11" t="s">
        <v>176</v>
      </c>
    </row>
    <row r="2" spans="1:1" ht="20.25" x14ac:dyDescent="0.45">
      <c r="A2" s="11" t="s">
        <v>177</v>
      </c>
    </row>
    <row r="3" spans="1:1" ht="20.25" x14ac:dyDescent="0.45">
      <c r="A3" s="11" t="s">
        <v>178</v>
      </c>
    </row>
    <row r="4" spans="1:1" ht="20.25" x14ac:dyDescent="0.45">
      <c r="A4" s="11" t="s">
        <v>179</v>
      </c>
    </row>
    <row r="5" spans="1:1" ht="20.25" x14ac:dyDescent="0.45">
      <c r="A5" s="11" t="s">
        <v>180</v>
      </c>
    </row>
    <row r="6" spans="1:1" ht="20.25" x14ac:dyDescent="0.45">
      <c r="A6" s="11" t="s">
        <v>181</v>
      </c>
    </row>
    <row r="7" spans="1:1" ht="20.25" x14ac:dyDescent="0.45">
      <c r="A7" s="11" t="s">
        <v>182</v>
      </c>
    </row>
    <row r="8" spans="1:1" ht="20.25" x14ac:dyDescent="0.45">
      <c r="A8" s="11" t="s">
        <v>183</v>
      </c>
    </row>
    <row r="9" spans="1:1" ht="20.25" x14ac:dyDescent="0.45">
      <c r="A9" s="11" t="s">
        <v>184</v>
      </c>
    </row>
    <row r="10" spans="1:1" ht="20.25" x14ac:dyDescent="0.45">
      <c r="A10" s="11" t="s">
        <v>185</v>
      </c>
    </row>
    <row r="11" spans="1:1" ht="20.25" x14ac:dyDescent="0.7">
      <c r="A11" s="13"/>
    </row>
    <row r="12" spans="1:1" ht="20.25" x14ac:dyDescent="0.7">
      <c r="A12" s="13"/>
    </row>
  </sheetData>
  <pageMargins left="0.7" right="0.7" top="0.75" bottom="0.75" header="0.3" footer="0.3"/>
</worksheet>
</file>

<file path=docMetadata/LabelInfo.xml><?xml version="1.0" encoding="utf-8"?>
<clbl:labelList xmlns:clbl="http://schemas.microsoft.com/office/2020/mipLabelMetadata">
  <clbl:label id="{a3f064c9-a652-4db3-a61d-5d8df5110d60}" enabled="1" method="Standard" siteId="{85fb968a-7113-44b7-94fa-19cc30a9376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Inventario de datos</vt:lpstr>
      <vt:lpstr>catalogo de tablas</vt:lpstr>
      <vt:lpstr>aktive_reakt_pro_CLARO</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Lizarazo</dc:creator>
  <cp:keywords/>
  <dc:description/>
  <cp:lastModifiedBy>David Lizarazo</cp:lastModifiedBy>
  <cp:revision/>
  <dcterms:created xsi:type="dcterms:W3CDTF">2025-08-26T20:17:39Z</dcterms:created>
  <dcterms:modified xsi:type="dcterms:W3CDTF">2025-12-16T14:36:57Z</dcterms:modified>
  <cp:category/>
  <cp:contentStatus/>
</cp:coreProperties>
</file>